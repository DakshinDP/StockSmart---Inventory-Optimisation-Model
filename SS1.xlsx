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shina Prasath\Downloads\"/>
    </mc:Choice>
  </mc:AlternateContent>
  <xr:revisionPtr revIDLastSave="0" documentId="13_ncr:1_{6ED3F4D7-8F24-4D23-B1AC-A9766B7ABA8B}" xr6:coauthVersionLast="47" xr6:coauthVersionMax="47" xr10:uidLastSave="{00000000-0000-0000-0000-000000000000}"/>
  <bookViews>
    <workbookView xWindow="-108" yWindow="-108" windowWidth="23256" windowHeight="13176" activeTab="1" xr2:uid="{8108D9AF-C5CE-417C-BCC5-21BACCE57D07}"/>
  </bookViews>
  <sheets>
    <sheet name="Forecast_Data" sheetId="1" r:id="rId1"/>
    <sheet name="Inventory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9" i="2"/>
  <c r="B8" i="2"/>
  <c r="B7" i="2"/>
  <c r="B11" i="2" s="1"/>
  <c r="B12" i="2" s="1"/>
  <c r="B10" i="2" l="1"/>
</calcChain>
</file>

<file path=xl/sharedStrings.xml><?xml version="1.0" encoding="utf-8"?>
<sst xmlns="http://schemas.openxmlformats.org/spreadsheetml/2006/main" count="16" uniqueCount="16">
  <si>
    <t>Date</t>
  </si>
  <si>
    <t>Forecasted_Sales</t>
  </si>
  <si>
    <t>Lower_Bound</t>
  </si>
  <si>
    <t>Upper_Bound</t>
  </si>
  <si>
    <t>Lead Time (weeks)</t>
  </si>
  <si>
    <t>Service Level (Z)</t>
  </si>
  <si>
    <t>Ordering Cost</t>
  </si>
  <si>
    <t>Holding Cost</t>
  </si>
  <si>
    <t>Current Stock</t>
  </si>
  <si>
    <t>Average Demand</t>
  </si>
  <si>
    <t>Standard Deviation</t>
  </si>
  <si>
    <t>Safety Stock</t>
  </si>
  <si>
    <t>Reorder Point</t>
  </si>
  <si>
    <t>Annual Demand</t>
  </si>
  <si>
    <t>EOQ</t>
  </si>
  <si>
    <t>Reorder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</si>
</sst>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2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3CB7-9619-43CD-AC06-C8598F152CB6}">
  <dimension ref="A1:D144"/>
  <sheetViews>
    <sheetView workbookViewId="0">
      <selection activeCell="G8" sqref="G8"/>
    </sheetView>
  </sheetViews>
  <sheetFormatPr defaultRowHeight="14.4" x14ac:dyDescent="0.3"/>
  <cols>
    <col min="1" max="1" width="20.6640625" customWidth="1"/>
    <col min="2" max="2" width="15.33203125" customWidth="1"/>
    <col min="3" max="3" width="21.33203125" customWidth="1"/>
    <col min="4" max="4" width="14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40214</v>
      </c>
      <c r="B2">
        <v>32450.0296325362</v>
      </c>
      <c r="C2">
        <v>24756.90945486875</v>
      </c>
      <c r="D2">
        <v>39631.809150913243</v>
      </c>
    </row>
    <row r="3" spans="1:4" x14ac:dyDescent="0.3">
      <c r="A3" s="2">
        <v>40221</v>
      </c>
      <c r="B3">
        <v>37834.530255616133</v>
      </c>
      <c r="C3">
        <v>30272.702237660491</v>
      </c>
      <c r="D3">
        <v>44767.395977721208</v>
      </c>
    </row>
    <row r="4" spans="1:4" x14ac:dyDescent="0.3">
      <c r="A4" s="2">
        <v>40228</v>
      </c>
      <c r="B4">
        <v>37126.691505225732</v>
      </c>
      <c r="C4">
        <v>29570.98347757434</v>
      </c>
      <c r="D4">
        <v>44814.455808423627</v>
      </c>
    </row>
    <row r="5" spans="1:4" x14ac:dyDescent="0.3">
      <c r="A5" s="2">
        <v>40235</v>
      </c>
      <c r="B5">
        <v>28955.006453507409</v>
      </c>
      <c r="C5">
        <v>20855.378299885389</v>
      </c>
      <c r="D5">
        <v>36546.693077383527</v>
      </c>
    </row>
    <row r="6" spans="1:4" x14ac:dyDescent="0.3">
      <c r="A6" s="2">
        <v>40242</v>
      </c>
      <c r="B6">
        <v>19810.012561600081</v>
      </c>
      <c r="C6">
        <v>12331.26120312003</v>
      </c>
      <c r="D6">
        <v>26954.13538643342</v>
      </c>
    </row>
    <row r="7" spans="1:4" x14ac:dyDescent="0.3">
      <c r="A7" s="2">
        <v>40249</v>
      </c>
      <c r="B7">
        <v>16417.445382192909</v>
      </c>
      <c r="C7">
        <v>8791.3610675564923</v>
      </c>
      <c r="D7">
        <v>23833.25032404036</v>
      </c>
    </row>
    <row r="8" spans="1:4" x14ac:dyDescent="0.3">
      <c r="A8" s="2">
        <v>40256</v>
      </c>
      <c r="B8">
        <v>21112.731475968088</v>
      </c>
      <c r="C8">
        <v>13711.561103660149</v>
      </c>
      <c r="D8">
        <v>28786.429302663459</v>
      </c>
    </row>
    <row r="9" spans="1:4" x14ac:dyDescent="0.3">
      <c r="A9" s="2">
        <v>40263</v>
      </c>
      <c r="B9">
        <v>29969.837618422749</v>
      </c>
      <c r="C9">
        <v>22187.768523331131</v>
      </c>
      <c r="D9">
        <v>37943.058209830771</v>
      </c>
    </row>
    <row r="10" spans="1:4" x14ac:dyDescent="0.3">
      <c r="A10" s="2">
        <v>40270</v>
      </c>
      <c r="B10">
        <v>36338.583858036247</v>
      </c>
      <c r="C10">
        <v>28693.921247057311</v>
      </c>
      <c r="D10">
        <v>43396.723940530741</v>
      </c>
    </row>
    <row r="11" spans="1:4" x14ac:dyDescent="0.3">
      <c r="A11" s="2">
        <v>40277</v>
      </c>
      <c r="B11">
        <v>36408.831335711657</v>
      </c>
      <c r="C11">
        <v>28390.371190133639</v>
      </c>
      <c r="D11">
        <v>43677.12723104476</v>
      </c>
    </row>
    <row r="12" spans="1:4" x14ac:dyDescent="0.3">
      <c r="A12" s="2">
        <v>40284</v>
      </c>
      <c r="B12">
        <v>31558.562241953299</v>
      </c>
      <c r="C12">
        <v>24222.00833940028</v>
      </c>
      <c r="D12">
        <v>38996.299153107022</v>
      </c>
    </row>
    <row r="13" spans="1:4" x14ac:dyDescent="0.3">
      <c r="A13" s="2">
        <v>40291</v>
      </c>
      <c r="B13">
        <v>25843.902289369729</v>
      </c>
      <c r="C13">
        <v>18130.45010838495</v>
      </c>
      <c r="D13">
        <v>32902.372915500608</v>
      </c>
    </row>
    <row r="14" spans="1:4" x14ac:dyDescent="0.3">
      <c r="A14" s="2">
        <v>40298</v>
      </c>
      <c r="B14">
        <v>21934.345965980028</v>
      </c>
      <c r="C14">
        <v>13967.363075066551</v>
      </c>
      <c r="D14">
        <v>29509.516128619569</v>
      </c>
    </row>
    <row r="15" spans="1:4" x14ac:dyDescent="0.3">
      <c r="A15" s="2">
        <v>40305</v>
      </c>
      <c r="B15">
        <v>19684.16513046468</v>
      </c>
      <c r="C15">
        <v>12248.98004551345</v>
      </c>
      <c r="D15">
        <v>27764.919098044851</v>
      </c>
    </row>
    <row r="16" spans="1:4" x14ac:dyDescent="0.3">
      <c r="A16" s="2">
        <v>40312</v>
      </c>
      <c r="B16">
        <v>17907.505271641599</v>
      </c>
      <c r="C16">
        <v>10361.55495121551</v>
      </c>
      <c r="D16">
        <v>25709.81946041893</v>
      </c>
    </row>
    <row r="17" spans="1:4" x14ac:dyDescent="0.3">
      <c r="A17" s="2">
        <v>40319</v>
      </c>
      <c r="B17">
        <v>16419.947920097711</v>
      </c>
      <c r="C17">
        <v>8860.4014968701922</v>
      </c>
      <c r="D17">
        <v>24143.2224239223</v>
      </c>
    </row>
    <row r="18" spans="1:4" x14ac:dyDescent="0.3">
      <c r="A18" s="2">
        <v>40326</v>
      </c>
      <c r="B18">
        <v>15916.11852180767</v>
      </c>
      <c r="C18">
        <v>8214.4715018004845</v>
      </c>
      <c r="D18">
        <v>23470.75584500987</v>
      </c>
    </row>
    <row r="19" spans="1:4" x14ac:dyDescent="0.3">
      <c r="A19" s="2">
        <v>40333</v>
      </c>
      <c r="B19">
        <v>16474.41171123091</v>
      </c>
      <c r="C19">
        <v>8513.0500425076643</v>
      </c>
      <c r="D19">
        <v>24212.357363511601</v>
      </c>
    </row>
    <row r="20" spans="1:4" x14ac:dyDescent="0.3">
      <c r="A20" s="2">
        <v>40340</v>
      </c>
      <c r="B20">
        <v>17088.651838140278</v>
      </c>
      <c r="C20">
        <v>10066.28210238443</v>
      </c>
      <c r="D20">
        <v>24625.71029650787</v>
      </c>
    </row>
    <row r="21" spans="1:4" x14ac:dyDescent="0.3">
      <c r="A21" s="2">
        <v>40347</v>
      </c>
      <c r="B21">
        <v>16872.629958167239</v>
      </c>
      <c r="C21">
        <v>9728.854248537149</v>
      </c>
      <c r="D21">
        <v>24422.649497347891</v>
      </c>
    </row>
    <row r="22" spans="1:4" x14ac:dyDescent="0.3">
      <c r="A22" s="2">
        <v>40354</v>
      </c>
      <c r="B22">
        <v>16169.386858368091</v>
      </c>
      <c r="C22">
        <v>8915.4972243725479</v>
      </c>
      <c r="D22">
        <v>23807.698512649389</v>
      </c>
    </row>
    <row r="23" spans="1:4" x14ac:dyDescent="0.3">
      <c r="A23" s="2">
        <v>40361</v>
      </c>
      <c r="B23">
        <v>15992.028356696361</v>
      </c>
      <c r="C23">
        <v>8439.8395546849551</v>
      </c>
      <c r="D23">
        <v>23705.709503066289</v>
      </c>
    </row>
    <row r="24" spans="1:4" x14ac:dyDescent="0.3">
      <c r="A24" s="2">
        <v>40368</v>
      </c>
      <c r="B24">
        <v>16580.502166362599</v>
      </c>
      <c r="C24">
        <v>9035.0039223116601</v>
      </c>
      <c r="D24">
        <v>23514.38049448729</v>
      </c>
    </row>
    <row r="25" spans="1:4" x14ac:dyDescent="0.3">
      <c r="A25" s="2">
        <v>40375</v>
      </c>
      <c r="B25">
        <v>17064.469736164279</v>
      </c>
      <c r="C25">
        <v>9623.4357647309498</v>
      </c>
      <c r="D25">
        <v>24733.102333649429</v>
      </c>
    </row>
    <row r="26" spans="1:4" x14ac:dyDescent="0.3">
      <c r="A26" s="2">
        <v>40382</v>
      </c>
      <c r="B26">
        <v>16666.29922933337</v>
      </c>
      <c r="C26">
        <v>9364.9729183456475</v>
      </c>
      <c r="D26">
        <v>24233.69794453217</v>
      </c>
    </row>
    <row r="27" spans="1:4" x14ac:dyDescent="0.3">
      <c r="A27" s="2">
        <v>40389</v>
      </c>
      <c r="B27">
        <v>15756.984953075669</v>
      </c>
      <c r="C27">
        <v>7724.604965191319</v>
      </c>
      <c r="D27">
        <v>22911.373041564559</v>
      </c>
    </row>
    <row r="28" spans="1:4" x14ac:dyDescent="0.3">
      <c r="A28" s="2">
        <v>40396</v>
      </c>
      <c r="B28">
        <v>15316.505099631049</v>
      </c>
      <c r="C28">
        <v>7709.6215255818979</v>
      </c>
      <c r="D28">
        <v>23744.42656902154</v>
      </c>
    </row>
    <row r="29" spans="1:4" x14ac:dyDescent="0.3">
      <c r="A29" s="2">
        <v>40403</v>
      </c>
      <c r="B29">
        <v>15596.46092142674</v>
      </c>
      <c r="C29">
        <v>7581.5767160042806</v>
      </c>
      <c r="D29">
        <v>22661.51648837722</v>
      </c>
    </row>
    <row r="30" spans="1:4" x14ac:dyDescent="0.3">
      <c r="A30" s="2">
        <v>40410</v>
      </c>
      <c r="B30">
        <v>15901.69869497175</v>
      </c>
      <c r="C30">
        <v>8316.9031788561842</v>
      </c>
      <c r="D30">
        <v>23765.84795633455</v>
      </c>
    </row>
    <row r="31" spans="1:4" x14ac:dyDescent="0.3">
      <c r="A31" s="2">
        <v>40417</v>
      </c>
      <c r="B31">
        <v>15801.9099830918</v>
      </c>
      <c r="C31">
        <v>7965.151096995698</v>
      </c>
      <c r="D31">
        <v>22416.349036763691</v>
      </c>
    </row>
    <row r="32" spans="1:4" x14ac:dyDescent="0.3">
      <c r="A32" s="2">
        <v>40424</v>
      </c>
      <c r="B32">
        <v>15965.470876806459</v>
      </c>
      <c r="C32">
        <v>8472.3884608540502</v>
      </c>
      <c r="D32">
        <v>23308.81612750675</v>
      </c>
    </row>
    <row r="33" spans="1:4" x14ac:dyDescent="0.3">
      <c r="A33" s="2">
        <v>40431</v>
      </c>
      <c r="B33">
        <v>16496.7179138028</v>
      </c>
      <c r="C33">
        <v>7867.6684163364716</v>
      </c>
      <c r="D33">
        <v>23960.221940845779</v>
      </c>
    </row>
    <row r="34" spans="1:4" x14ac:dyDescent="0.3">
      <c r="A34" s="2">
        <v>40438</v>
      </c>
      <c r="B34">
        <v>19117.985375866479</v>
      </c>
      <c r="C34">
        <v>11658.312834409729</v>
      </c>
      <c r="D34">
        <v>26467.00783710277</v>
      </c>
    </row>
    <row r="35" spans="1:4" x14ac:dyDescent="0.3">
      <c r="A35" s="2">
        <v>40445</v>
      </c>
      <c r="B35">
        <v>20090.912996605632</v>
      </c>
      <c r="C35">
        <v>12679.79979929832</v>
      </c>
      <c r="D35">
        <v>27327.556054289951</v>
      </c>
    </row>
    <row r="36" spans="1:4" x14ac:dyDescent="0.3">
      <c r="A36" s="2">
        <v>40452</v>
      </c>
      <c r="B36">
        <v>19758.619903236329</v>
      </c>
      <c r="C36">
        <v>11531.242597719331</v>
      </c>
      <c r="D36">
        <v>27228.65373641612</v>
      </c>
    </row>
    <row r="37" spans="1:4" x14ac:dyDescent="0.3">
      <c r="A37" s="2">
        <v>40459</v>
      </c>
      <c r="B37">
        <v>20144.34386118317</v>
      </c>
      <c r="C37">
        <v>12561.84320817407</v>
      </c>
      <c r="D37">
        <v>27613.284241031019</v>
      </c>
    </row>
    <row r="38" spans="1:4" x14ac:dyDescent="0.3">
      <c r="A38" s="2">
        <v>40466</v>
      </c>
      <c r="B38">
        <v>23732.552492651441</v>
      </c>
      <c r="C38">
        <v>16053.316380649059</v>
      </c>
      <c r="D38">
        <v>31410.58705104261</v>
      </c>
    </row>
    <row r="39" spans="1:4" x14ac:dyDescent="0.3">
      <c r="A39" s="2">
        <v>40473</v>
      </c>
      <c r="B39">
        <v>29923.19364689734</v>
      </c>
      <c r="C39">
        <v>22488.001221688701</v>
      </c>
      <c r="D39">
        <v>37521.544273147112</v>
      </c>
    </row>
    <row r="40" spans="1:4" x14ac:dyDescent="0.3">
      <c r="A40" s="2">
        <v>40480</v>
      </c>
      <c r="B40">
        <v>34243.76654365116</v>
      </c>
      <c r="C40">
        <v>26811.880148596862</v>
      </c>
      <c r="D40">
        <v>41430.352162052593</v>
      </c>
    </row>
    <row r="41" spans="1:4" x14ac:dyDescent="0.3">
      <c r="A41" s="2">
        <v>40487</v>
      </c>
      <c r="B41">
        <v>32228.156650191111</v>
      </c>
      <c r="C41">
        <v>24731.497895938741</v>
      </c>
      <c r="D41">
        <v>39648.163002898713</v>
      </c>
    </row>
    <row r="42" spans="1:4" x14ac:dyDescent="0.3">
      <c r="A42" s="2">
        <v>40494</v>
      </c>
      <c r="B42">
        <v>24478.852131510019</v>
      </c>
      <c r="C42">
        <v>16880.257968702401</v>
      </c>
      <c r="D42">
        <v>32165.08791360895</v>
      </c>
    </row>
    <row r="43" spans="1:4" x14ac:dyDescent="0.3">
      <c r="A43" s="2">
        <v>40501</v>
      </c>
      <c r="B43">
        <v>17328.558746100491</v>
      </c>
      <c r="C43">
        <v>9502.232320099567</v>
      </c>
      <c r="D43">
        <v>25055.85543395314</v>
      </c>
    </row>
    <row r="44" spans="1:4" x14ac:dyDescent="0.3">
      <c r="A44" s="2">
        <v>40508</v>
      </c>
      <c r="B44">
        <v>16919.281170195551</v>
      </c>
      <c r="C44">
        <v>9358.7967142662128</v>
      </c>
      <c r="D44">
        <v>23600.185953408331</v>
      </c>
    </row>
    <row r="45" spans="1:4" x14ac:dyDescent="0.3">
      <c r="A45" s="2">
        <v>40515</v>
      </c>
      <c r="B45">
        <v>26572.245061690879</v>
      </c>
      <c r="C45">
        <v>19010.588306454749</v>
      </c>
      <c r="D45">
        <v>34022.412854872207</v>
      </c>
    </row>
    <row r="46" spans="1:4" x14ac:dyDescent="0.3">
      <c r="A46" s="2">
        <v>40522</v>
      </c>
      <c r="B46">
        <v>38126.287690647026</v>
      </c>
      <c r="C46">
        <v>31642.39587590946</v>
      </c>
      <c r="D46">
        <v>46369.777951145014</v>
      </c>
    </row>
    <row r="47" spans="1:4" x14ac:dyDescent="0.3">
      <c r="A47" s="2">
        <v>40529</v>
      </c>
      <c r="B47">
        <v>44177.769053363787</v>
      </c>
      <c r="C47">
        <v>36834.268074560146</v>
      </c>
      <c r="D47">
        <v>51744.840396989101</v>
      </c>
    </row>
    <row r="48" spans="1:4" x14ac:dyDescent="0.3">
      <c r="A48" s="2">
        <v>40536</v>
      </c>
      <c r="B48">
        <v>40735.281164802007</v>
      </c>
      <c r="C48">
        <v>33434.750837769221</v>
      </c>
      <c r="D48">
        <v>47825.213568631378</v>
      </c>
    </row>
    <row r="49" spans="1:4" x14ac:dyDescent="0.3">
      <c r="A49" s="2">
        <v>40543</v>
      </c>
      <c r="B49">
        <v>29524.127576434061</v>
      </c>
      <c r="C49">
        <v>21317.0881157478</v>
      </c>
      <c r="D49">
        <v>37264.549158274458</v>
      </c>
    </row>
    <row r="50" spans="1:4" x14ac:dyDescent="0.3">
      <c r="A50" s="2">
        <v>40550</v>
      </c>
      <c r="B50">
        <v>18965.04978672029</v>
      </c>
      <c r="C50">
        <v>11618.59101365714</v>
      </c>
      <c r="D50">
        <v>26460.18854394638</v>
      </c>
    </row>
    <row r="51" spans="1:4" x14ac:dyDescent="0.3">
      <c r="A51" s="2">
        <v>40557</v>
      </c>
      <c r="B51">
        <v>12497.56807636088</v>
      </c>
      <c r="C51">
        <v>5109.3681417095686</v>
      </c>
      <c r="D51">
        <v>20372.35315233019</v>
      </c>
    </row>
    <row r="52" spans="1:4" x14ac:dyDescent="0.3">
      <c r="A52" s="2">
        <v>40564</v>
      </c>
      <c r="B52">
        <v>13389.827615127529</v>
      </c>
      <c r="C52">
        <v>5648.9791936274887</v>
      </c>
      <c r="D52">
        <v>21442.819926853219</v>
      </c>
    </row>
    <row r="53" spans="1:4" x14ac:dyDescent="0.3">
      <c r="A53" s="2">
        <v>40571</v>
      </c>
      <c r="B53">
        <v>20708.182749749049</v>
      </c>
      <c r="C53">
        <v>13478.824917774609</v>
      </c>
      <c r="D53">
        <v>29153.230159011859</v>
      </c>
    </row>
    <row r="54" spans="1:4" x14ac:dyDescent="0.3">
      <c r="A54" s="2">
        <v>40578</v>
      </c>
      <c r="B54">
        <v>30648.325706907741</v>
      </c>
      <c r="C54">
        <v>23089.119981116371</v>
      </c>
      <c r="D54">
        <v>38075.276887669417</v>
      </c>
    </row>
    <row r="55" spans="1:4" x14ac:dyDescent="0.3">
      <c r="A55" s="2">
        <v>40585</v>
      </c>
      <c r="B55">
        <v>37073.205948128743</v>
      </c>
      <c r="C55">
        <v>28983.498050366539</v>
      </c>
      <c r="D55">
        <v>44748.069418642648</v>
      </c>
    </row>
    <row r="56" spans="1:4" x14ac:dyDescent="0.3">
      <c r="A56" s="2">
        <v>40592</v>
      </c>
      <c r="B56">
        <v>37816.684869659803</v>
      </c>
      <c r="C56">
        <v>29914.967937277372</v>
      </c>
      <c r="D56">
        <v>45394.25039282778</v>
      </c>
    </row>
    <row r="57" spans="1:4" x14ac:dyDescent="0.3">
      <c r="A57" s="2">
        <v>40599</v>
      </c>
      <c r="B57">
        <v>30536.210174233951</v>
      </c>
      <c r="C57">
        <v>23010.666215298799</v>
      </c>
      <c r="D57">
        <v>38404.007763912639</v>
      </c>
    </row>
    <row r="58" spans="1:4" x14ac:dyDescent="0.3">
      <c r="A58" s="2">
        <v>40606</v>
      </c>
      <c r="B58">
        <v>21024.02189895805</v>
      </c>
      <c r="C58">
        <v>13410.0595182941</v>
      </c>
      <c r="D58">
        <v>28681.754534284089</v>
      </c>
    </row>
    <row r="59" spans="1:4" x14ac:dyDescent="0.3">
      <c r="A59" s="2">
        <v>40613</v>
      </c>
      <c r="B59">
        <v>16250.259012287481</v>
      </c>
      <c r="C59">
        <v>8485.4150572287508</v>
      </c>
      <c r="D59">
        <v>23198.4559274698</v>
      </c>
    </row>
    <row r="60" spans="1:4" x14ac:dyDescent="0.3">
      <c r="A60" s="2">
        <v>40620</v>
      </c>
      <c r="B60">
        <v>19627.468265673091</v>
      </c>
      <c r="C60">
        <v>11619.806638454909</v>
      </c>
      <c r="D60">
        <v>27014.495674600508</v>
      </c>
    </row>
    <row r="61" spans="1:4" x14ac:dyDescent="0.3">
      <c r="A61" s="2">
        <v>40627</v>
      </c>
      <c r="B61">
        <v>28227.41034886783</v>
      </c>
      <c r="C61">
        <v>20359.575260901351</v>
      </c>
      <c r="D61">
        <v>35966.708192105107</v>
      </c>
    </row>
    <row r="62" spans="1:4" x14ac:dyDescent="0.3">
      <c r="A62" s="2">
        <v>40634</v>
      </c>
      <c r="B62">
        <v>35462.31949072842</v>
      </c>
      <c r="C62">
        <v>27510.124185400611</v>
      </c>
      <c r="D62">
        <v>43081.167246752651</v>
      </c>
    </row>
    <row r="63" spans="1:4" x14ac:dyDescent="0.3">
      <c r="A63" s="2">
        <v>40641</v>
      </c>
      <c r="B63">
        <v>36696.442859710602</v>
      </c>
      <c r="C63">
        <v>29341.023984816249</v>
      </c>
      <c r="D63">
        <v>44426.57433969828</v>
      </c>
    </row>
    <row r="64" spans="1:4" x14ac:dyDescent="0.3">
      <c r="A64" s="2">
        <v>40648</v>
      </c>
      <c r="B64">
        <v>32446.47950150086</v>
      </c>
      <c r="C64">
        <v>24832.038237821711</v>
      </c>
      <c r="D64">
        <v>40183.108406498308</v>
      </c>
    </row>
    <row r="65" spans="1:4" x14ac:dyDescent="0.3">
      <c r="A65" s="2">
        <v>40655</v>
      </c>
      <c r="B65">
        <v>26609.143640818609</v>
      </c>
      <c r="C65">
        <v>19561.27691749607</v>
      </c>
      <c r="D65">
        <v>34205.805866864197</v>
      </c>
    </row>
    <row r="66" spans="1:4" x14ac:dyDescent="0.3">
      <c r="A66" s="2">
        <v>40662</v>
      </c>
      <c r="B66">
        <v>22317.27879127131</v>
      </c>
      <c r="C66">
        <v>14730.01142027348</v>
      </c>
      <c r="D66">
        <v>30097.212572666351</v>
      </c>
    </row>
    <row r="67" spans="1:4" x14ac:dyDescent="0.3">
      <c r="A67" s="2">
        <v>40669</v>
      </c>
      <c r="B67">
        <v>19862.86859654812</v>
      </c>
      <c r="C67">
        <v>12631.17292828686</v>
      </c>
      <c r="D67">
        <v>27549.852715140569</v>
      </c>
    </row>
    <row r="68" spans="1:4" x14ac:dyDescent="0.3">
      <c r="A68" s="2">
        <v>40676</v>
      </c>
      <c r="B68">
        <v>18056.823075003449</v>
      </c>
      <c r="C68">
        <v>10762.538798395801</v>
      </c>
      <c r="D68">
        <v>25576.98030534562</v>
      </c>
    </row>
    <row r="69" spans="1:4" x14ac:dyDescent="0.3">
      <c r="A69" s="2">
        <v>40683</v>
      </c>
      <c r="B69">
        <v>16473.606839042899</v>
      </c>
      <c r="C69">
        <v>9366.6419030445686</v>
      </c>
      <c r="D69">
        <v>23852.038030376239</v>
      </c>
    </row>
    <row r="70" spans="1:4" x14ac:dyDescent="0.3">
      <c r="A70" s="2">
        <v>40690</v>
      </c>
      <c r="B70">
        <v>15753.16182482156</v>
      </c>
      <c r="C70">
        <v>8604.4837294561567</v>
      </c>
      <c r="D70">
        <v>23244.857194928751</v>
      </c>
    </row>
    <row r="71" spans="1:4" x14ac:dyDescent="0.3">
      <c r="A71" s="2">
        <v>40697</v>
      </c>
      <c r="B71">
        <v>16173.35078395755</v>
      </c>
      <c r="C71">
        <v>8848.6557914542082</v>
      </c>
      <c r="D71">
        <v>23957.274099344089</v>
      </c>
    </row>
    <row r="72" spans="1:4" x14ac:dyDescent="0.3">
      <c r="A72" s="2">
        <v>40704</v>
      </c>
      <c r="B72">
        <v>16867.61585605023</v>
      </c>
      <c r="C72">
        <v>9741.416345950076</v>
      </c>
      <c r="D72">
        <v>24460.92866769759</v>
      </c>
    </row>
    <row r="73" spans="1:4" x14ac:dyDescent="0.3">
      <c r="A73" s="2">
        <v>40711</v>
      </c>
      <c r="B73">
        <v>16813.387163784861</v>
      </c>
      <c r="C73">
        <v>9848.7878190437823</v>
      </c>
      <c r="D73">
        <v>24741.358558488449</v>
      </c>
    </row>
    <row r="74" spans="1:4" x14ac:dyDescent="0.3">
      <c r="A74" s="2">
        <v>40718</v>
      </c>
      <c r="B74">
        <v>16122.6800550636</v>
      </c>
      <c r="C74">
        <v>8400.6607672864193</v>
      </c>
      <c r="D74">
        <v>23859.688328988701</v>
      </c>
    </row>
    <row r="75" spans="1:4" x14ac:dyDescent="0.3">
      <c r="A75" s="2">
        <v>40725</v>
      </c>
      <c r="B75">
        <v>15796.39020003638</v>
      </c>
      <c r="C75">
        <v>7761.4668525477782</v>
      </c>
      <c r="D75">
        <v>23676.516791452352</v>
      </c>
    </row>
    <row r="76" spans="1:4" x14ac:dyDescent="0.3">
      <c r="A76" s="2">
        <v>40732</v>
      </c>
      <c r="B76">
        <v>16289.724706615139</v>
      </c>
      <c r="C76">
        <v>8453.2942200288599</v>
      </c>
      <c r="D76">
        <v>23672.740553132251</v>
      </c>
    </row>
    <row r="77" spans="1:4" x14ac:dyDescent="0.3">
      <c r="A77" s="2">
        <v>40739</v>
      </c>
      <c r="B77">
        <v>16872.77782199837</v>
      </c>
      <c r="C77">
        <v>9438.7125657088582</v>
      </c>
      <c r="D77">
        <v>24334.02589468431</v>
      </c>
    </row>
    <row r="78" spans="1:4" x14ac:dyDescent="0.3">
      <c r="A78" s="2">
        <v>40746</v>
      </c>
      <c r="B78">
        <v>16640.945511856989</v>
      </c>
      <c r="C78">
        <v>8557.1575099857982</v>
      </c>
      <c r="D78">
        <v>23897.836659647211</v>
      </c>
    </row>
    <row r="79" spans="1:4" x14ac:dyDescent="0.3">
      <c r="A79" s="2">
        <v>40753</v>
      </c>
      <c r="B79">
        <v>15750.132650171459</v>
      </c>
      <c r="C79">
        <v>8294.5493285655721</v>
      </c>
      <c r="D79">
        <v>23624.330051206161</v>
      </c>
    </row>
    <row r="80" spans="1:4" x14ac:dyDescent="0.3">
      <c r="A80" s="2">
        <v>40760</v>
      </c>
      <c r="B80">
        <v>15173.10465678308</v>
      </c>
      <c r="C80">
        <v>7820.3142408694039</v>
      </c>
      <c r="D80">
        <v>22527.098695271121</v>
      </c>
    </row>
    <row r="81" spans="1:4" x14ac:dyDescent="0.3">
      <c r="A81" s="2">
        <v>40767</v>
      </c>
      <c r="B81">
        <v>15359.02697554012</v>
      </c>
      <c r="C81">
        <v>7458.1354088609769</v>
      </c>
      <c r="D81">
        <v>22458.420979354021</v>
      </c>
    </row>
    <row r="82" spans="1:4" x14ac:dyDescent="0.3">
      <c r="A82" s="2">
        <v>40774</v>
      </c>
      <c r="B82">
        <v>15718.263783858491</v>
      </c>
      <c r="C82">
        <v>7971.6736425449844</v>
      </c>
      <c r="D82">
        <v>23378.83868622734</v>
      </c>
    </row>
    <row r="83" spans="1:4" x14ac:dyDescent="0.3">
      <c r="A83" s="2">
        <v>40781</v>
      </c>
      <c r="B83">
        <v>15671.561769037629</v>
      </c>
      <c r="C83">
        <v>7561.3114557058971</v>
      </c>
      <c r="D83">
        <v>23039.541391471761</v>
      </c>
    </row>
    <row r="84" spans="1:4" x14ac:dyDescent="0.3">
      <c r="A84" s="2">
        <v>40788</v>
      </c>
      <c r="B84">
        <v>15708.122472845809</v>
      </c>
      <c r="C84">
        <v>8011.6040555370109</v>
      </c>
      <c r="D84">
        <v>22645.917053343572</v>
      </c>
    </row>
    <row r="85" spans="1:4" x14ac:dyDescent="0.3">
      <c r="A85" s="2">
        <v>40795</v>
      </c>
      <c r="B85">
        <v>16028.46087262354</v>
      </c>
      <c r="C85">
        <v>8194.7013742981053</v>
      </c>
      <c r="D85">
        <v>23237.525835981782</v>
      </c>
    </row>
    <row r="86" spans="1:4" x14ac:dyDescent="0.3">
      <c r="A86" s="2">
        <v>40802</v>
      </c>
      <c r="B86">
        <v>18644.300593017611</v>
      </c>
      <c r="C86">
        <v>10530.93271993799</v>
      </c>
      <c r="D86">
        <v>26130.464800204209</v>
      </c>
    </row>
    <row r="87" spans="1:4" x14ac:dyDescent="0.3">
      <c r="A87" s="2">
        <v>40809</v>
      </c>
      <c r="B87">
        <v>19873.402238578881</v>
      </c>
      <c r="C87">
        <v>11802.56126745841</v>
      </c>
      <c r="D87">
        <v>27320.636747001008</v>
      </c>
    </row>
    <row r="88" spans="1:4" x14ac:dyDescent="0.3">
      <c r="A88" s="2">
        <v>40816</v>
      </c>
      <c r="B88">
        <v>19689.578094841239</v>
      </c>
      <c r="C88">
        <v>11438.947722889599</v>
      </c>
      <c r="D88">
        <v>26851.652291159171</v>
      </c>
    </row>
    <row r="89" spans="1:4" x14ac:dyDescent="0.3">
      <c r="A89" s="2">
        <v>40823</v>
      </c>
      <c r="B89">
        <v>19729.763159781221</v>
      </c>
      <c r="C89">
        <v>11946.00427425721</v>
      </c>
      <c r="D89">
        <v>27429.807287692289</v>
      </c>
    </row>
    <row r="90" spans="1:4" x14ac:dyDescent="0.3">
      <c r="A90" s="2">
        <v>40830</v>
      </c>
      <c r="B90">
        <v>22663.7902608029</v>
      </c>
      <c r="C90">
        <v>15245.505087441839</v>
      </c>
      <c r="D90">
        <v>30845.97529909257</v>
      </c>
    </row>
    <row r="91" spans="1:4" x14ac:dyDescent="0.3">
      <c r="A91" s="2">
        <v>40837</v>
      </c>
      <c r="B91">
        <v>28633.324763455788</v>
      </c>
      <c r="C91">
        <v>20793.329772990699</v>
      </c>
      <c r="D91">
        <v>36279.784392815847</v>
      </c>
    </row>
    <row r="92" spans="1:4" x14ac:dyDescent="0.3">
      <c r="A92" s="2">
        <v>40844</v>
      </c>
      <c r="B92">
        <v>33691.460819305386</v>
      </c>
      <c r="C92">
        <v>25944.954766536859</v>
      </c>
      <c r="D92">
        <v>41374.826886109848</v>
      </c>
    </row>
    <row r="93" spans="1:4" x14ac:dyDescent="0.3">
      <c r="A93" s="2">
        <v>40851</v>
      </c>
      <c r="B93">
        <v>32955.119638661708</v>
      </c>
      <c r="C93">
        <v>25741.73870906985</v>
      </c>
      <c r="D93">
        <v>40554.323422735841</v>
      </c>
    </row>
    <row r="94" spans="1:4" x14ac:dyDescent="0.3">
      <c r="A94" s="2">
        <v>40858</v>
      </c>
      <c r="B94">
        <v>25889.366213113299</v>
      </c>
      <c r="C94">
        <v>18413.363422164901</v>
      </c>
      <c r="D94">
        <v>33170.52727099372</v>
      </c>
    </row>
    <row r="95" spans="1:4" x14ac:dyDescent="0.3">
      <c r="A95" s="2">
        <v>40865</v>
      </c>
      <c r="B95">
        <v>18047.900795032219</v>
      </c>
      <c r="C95">
        <v>10522.368831690181</v>
      </c>
      <c r="D95">
        <v>26028.288956779401</v>
      </c>
    </row>
    <row r="96" spans="1:4" x14ac:dyDescent="0.3">
      <c r="A96" s="2">
        <v>40872</v>
      </c>
      <c r="B96">
        <v>15998.10925061001</v>
      </c>
      <c r="C96">
        <v>8500.0637824712758</v>
      </c>
      <c r="D96">
        <v>23588.013145936849</v>
      </c>
    </row>
    <row r="97" spans="1:4" x14ac:dyDescent="0.3">
      <c r="A97" s="2">
        <v>40879</v>
      </c>
      <c r="B97">
        <v>24386.1295626834</v>
      </c>
      <c r="C97">
        <v>16778.892336441</v>
      </c>
      <c r="D97">
        <v>32260.967093191281</v>
      </c>
    </row>
    <row r="98" spans="1:4" x14ac:dyDescent="0.3">
      <c r="A98" s="2">
        <v>40886</v>
      </c>
      <c r="B98">
        <v>36095.973201028588</v>
      </c>
      <c r="C98">
        <v>28775.763983039429</v>
      </c>
      <c r="D98">
        <v>44178.418442034861</v>
      </c>
    </row>
    <row r="99" spans="1:4" x14ac:dyDescent="0.3">
      <c r="A99" s="2">
        <v>40893</v>
      </c>
      <c r="B99">
        <v>43605.399678327987</v>
      </c>
      <c r="C99">
        <v>35751.262928550292</v>
      </c>
      <c r="D99">
        <v>50794.857676108673</v>
      </c>
    </row>
    <row r="100" spans="1:4" x14ac:dyDescent="0.3">
      <c r="A100" s="2">
        <v>40900</v>
      </c>
      <c r="B100">
        <v>41851.010696571553</v>
      </c>
      <c r="C100">
        <v>34584.917121921317</v>
      </c>
      <c r="D100">
        <v>49046.784174363529</v>
      </c>
    </row>
    <row r="101" spans="1:4" x14ac:dyDescent="0.3">
      <c r="A101" s="2">
        <v>40907</v>
      </c>
      <c r="B101">
        <v>31488.76820023172</v>
      </c>
      <c r="C101">
        <v>24126.337838758089</v>
      </c>
      <c r="D101">
        <v>39029.114922730572</v>
      </c>
    </row>
    <row r="102" spans="1:4" x14ac:dyDescent="0.3">
      <c r="A102" s="2">
        <v>40914</v>
      </c>
      <c r="B102">
        <v>20596.969825061071</v>
      </c>
      <c r="C102">
        <v>13405.559685771939</v>
      </c>
      <c r="D102">
        <v>28514.118388234401</v>
      </c>
    </row>
    <row r="103" spans="1:4" x14ac:dyDescent="0.3">
      <c r="A103" s="2">
        <v>40921</v>
      </c>
      <c r="B103">
        <v>12978.04255645531</v>
      </c>
      <c r="C103">
        <v>5318.369112356354</v>
      </c>
      <c r="D103">
        <v>20497.710041000009</v>
      </c>
    </row>
    <row r="104" spans="1:4" x14ac:dyDescent="0.3">
      <c r="A104" s="2">
        <v>40928</v>
      </c>
      <c r="B104">
        <v>12530.07610455537</v>
      </c>
      <c r="C104">
        <v>4759.8759422073572</v>
      </c>
      <c r="D104">
        <v>20087.821185740569</v>
      </c>
    </row>
    <row r="105" spans="1:4" x14ac:dyDescent="0.3">
      <c r="A105" s="2">
        <v>40935</v>
      </c>
      <c r="B105">
        <v>18908.237371847459</v>
      </c>
      <c r="C105">
        <v>11774.01636062852</v>
      </c>
      <c r="D105">
        <v>26966.389517849871</v>
      </c>
    </row>
    <row r="106" spans="1:4" x14ac:dyDescent="0.3">
      <c r="A106" s="2">
        <v>40942</v>
      </c>
      <c r="B106">
        <v>28755.98217302002</v>
      </c>
      <c r="C106">
        <v>20694.576182046942</v>
      </c>
      <c r="D106">
        <v>36373.067373070357</v>
      </c>
    </row>
    <row r="107" spans="1:4" x14ac:dyDescent="0.3">
      <c r="A107" s="2">
        <v>40949</v>
      </c>
      <c r="B107">
        <v>36072.402180493089</v>
      </c>
      <c r="C107">
        <v>28471.17956597342</v>
      </c>
      <c r="D107">
        <v>43332.830064518341</v>
      </c>
    </row>
    <row r="108" spans="1:4" x14ac:dyDescent="0.3">
      <c r="A108" s="2">
        <v>40956</v>
      </c>
      <c r="B108">
        <v>38259.591521747883</v>
      </c>
      <c r="C108">
        <v>30485.156741684481</v>
      </c>
      <c r="D108">
        <v>45995.931677807821</v>
      </c>
    </row>
    <row r="109" spans="1:4" x14ac:dyDescent="0.3">
      <c r="A109" s="2">
        <v>40963</v>
      </c>
      <c r="B109">
        <v>32040.814482274549</v>
      </c>
      <c r="C109">
        <v>24648.05786987687</v>
      </c>
      <c r="D109">
        <v>39531.803884838337</v>
      </c>
    </row>
    <row r="110" spans="1:4" x14ac:dyDescent="0.3">
      <c r="A110" s="2">
        <v>40970</v>
      </c>
      <c r="B110">
        <v>22399.824193030199</v>
      </c>
      <c r="C110">
        <v>14999.57604120414</v>
      </c>
      <c r="D110">
        <v>29566.272419380759</v>
      </c>
    </row>
    <row r="111" spans="1:4" x14ac:dyDescent="0.3">
      <c r="A111" s="2">
        <v>40977</v>
      </c>
      <c r="B111">
        <v>16362.068887622159</v>
      </c>
      <c r="C111">
        <v>9099.4865362962701</v>
      </c>
      <c r="D111">
        <v>24442.89665621749</v>
      </c>
    </row>
    <row r="112" spans="1:4" x14ac:dyDescent="0.3">
      <c r="A112" s="2">
        <v>40984</v>
      </c>
      <c r="B112">
        <v>18319.952226260499</v>
      </c>
      <c r="C112">
        <v>10699.029571720919</v>
      </c>
      <c r="D112">
        <v>25885.687980224349</v>
      </c>
    </row>
    <row r="113" spans="1:4" x14ac:dyDescent="0.3">
      <c r="A113" s="2">
        <v>40991</v>
      </c>
      <c r="B113">
        <v>26436.079046400231</v>
      </c>
      <c r="C113">
        <v>19032.213984043181</v>
      </c>
      <c r="D113">
        <v>34381.127240815913</v>
      </c>
    </row>
    <row r="114" spans="1:4" x14ac:dyDescent="0.3">
      <c r="A114" s="2">
        <v>40998</v>
      </c>
      <c r="B114">
        <v>34380.116035501458</v>
      </c>
      <c r="C114">
        <v>26540.34099090685</v>
      </c>
      <c r="D114">
        <v>41742.324955238822</v>
      </c>
    </row>
    <row r="115" spans="1:4" x14ac:dyDescent="0.3">
      <c r="A115" s="2">
        <v>41005</v>
      </c>
      <c r="B115">
        <v>36800.325129728248</v>
      </c>
      <c r="C115">
        <v>28856.008506635451</v>
      </c>
      <c r="D115">
        <v>44335.965619027338</v>
      </c>
    </row>
    <row r="116" spans="1:4" x14ac:dyDescent="0.3">
      <c r="A116" s="2">
        <v>41012</v>
      </c>
      <c r="B116">
        <v>33287.488417188331</v>
      </c>
      <c r="C116">
        <v>26527.09344326569</v>
      </c>
      <c r="D116">
        <v>40896.078101403044</v>
      </c>
    </row>
    <row r="117" spans="1:4" x14ac:dyDescent="0.3">
      <c r="A117" s="2">
        <v>41019</v>
      </c>
      <c r="B117">
        <v>27433.290963251551</v>
      </c>
      <c r="C117">
        <v>19657.95491121108</v>
      </c>
      <c r="D117">
        <v>34454.717903545861</v>
      </c>
    </row>
    <row r="118" spans="1:4" x14ac:dyDescent="0.3">
      <c r="A118" s="2">
        <v>41026</v>
      </c>
      <c r="B118">
        <v>22763.855828104861</v>
      </c>
      <c r="C118">
        <v>15436.646209911431</v>
      </c>
      <c r="D118">
        <v>29726.87127458043</v>
      </c>
    </row>
    <row r="119" spans="1:4" x14ac:dyDescent="0.3">
      <c r="A119" s="2">
        <v>41033</v>
      </c>
      <c r="B119">
        <v>20060.38791780029</v>
      </c>
      <c r="C119">
        <v>12641.336934534989</v>
      </c>
      <c r="D119">
        <v>27545.109661525741</v>
      </c>
    </row>
    <row r="120" spans="1:4" x14ac:dyDescent="0.3">
      <c r="A120" s="2">
        <v>41040</v>
      </c>
      <c r="B120">
        <v>18210.808623854929</v>
      </c>
      <c r="C120">
        <v>10930.554102344169</v>
      </c>
      <c r="D120">
        <v>25875.639758287922</v>
      </c>
    </row>
    <row r="121" spans="1:4" x14ac:dyDescent="0.3">
      <c r="A121" s="2">
        <v>41047</v>
      </c>
      <c r="B121">
        <v>16557.120311733612</v>
      </c>
      <c r="C121">
        <v>9160.9169611798225</v>
      </c>
      <c r="D121">
        <v>23790.523340068921</v>
      </c>
    </row>
    <row r="122" spans="1:4" x14ac:dyDescent="0.3">
      <c r="A122" s="2">
        <v>41054</v>
      </c>
      <c r="B122">
        <v>15631.462197240549</v>
      </c>
      <c r="C122">
        <v>8017.8644887115252</v>
      </c>
      <c r="D122">
        <v>23257.534564283142</v>
      </c>
    </row>
    <row r="123" spans="1:4" x14ac:dyDescent="0.3">
      <c r="A123" s="2">
        <v>41061</v>
      </c>
      <c r="B123">
        <v>15882.762749567541</v>
      </c>
      <c r="C123">
        <v>8363.3636750604037</v>
      </c>
      <c r="D123">
        <v>24119.967316137408</v>
      </c>
    </row>
    <row r="124" spans="1:4" x14ac:dyDescent="0.3">
      <c r="A124" s="2">
        <v>41068</v>
      </c>
      <c r="B124">
        <v>16620.37065346399</v>
      </c>
      <c r="C124">
        <v>9187.1527862015846</v>
      </c>
      <c r="D124">
        <v>24605.123552016179</v>
      </c>
    </row>
    <row r="125" spans="1:4" x14ac:dyDescent="0.3">
      <c r="A125" s="2">
        <v>41075</v>
      </c>
      <c r="B125">
        <v>16732.35427123995</v>
      </c>
      <c r="C125">
        <v>9540.0556894417041</v>
      </c>
      <c r="D125">
        <v>23825.162353262062</v>
      </c>
    </row>
    <row r="126" spans="1:4" x14ac:dyDescent="0.3">
      <c r="A126" s="2">
        <v>41082</v>
      </c>
      <c r="B126">
        <v>16090.72077211179</v>
      </c>
      <c r="C126">
        <v>7820.9101005167204</v>
      </c>
      <c r="D126">
        <v>23717.342128447741</v>
      </c>
    </row>
    <row r="127" spans="1:4" x14ac:dyDescent="0.3">
      <c r="A127" s="2">
        <v>41089</v>
      </c>
      <c r="B127">
        <v>15632.0882450298</v>
      </c>
      <c r="C127">
        <v>8143.422433650102</v>
      </c>
      <c r="D127">
        <v>23122.71929430071</v>
      </c>
    </row>
    <row r="128" spans="1:4" x14ac:dyDescent="0.3">
      <c r="A128" s="2">
        <v>41096</v>
      </c>
      <c r="B128">
        <v>16003.8332656609</v>
      </c>
      <c r="C128">
        <v>8765.1124368687724</v>
      </c>
      <c r="D128">
        <v>23676.53087691612</v>
      </c>
    </row>
    <row r="129" spans="1:4" x14ac:dyDescent="0.3">
      <c r="A129" s="2">
        <v>41103</v>
      </c>
      <c r="B129">
        <v>16653.25180689117</v>
      </c>
      <c r="C129">
        <v>8762.9239757797841</v>
      </c>
      <c r="D129">
        <v>24545.278641635159</v>
      </c>
    </row>
    <row r="130" spans="1:4" x14ac:dyDescent="0.3">
      <c r="A130" s="2">
        <v>41110</v>
      </c>
      <c r="B130">
        <v>16593.579880303321</v>
      </c>
      <c r="C130">
        <v>9023.8062131246024</v>
      </c>
      <c r="D130">
        <v>24487.270277570791</v>
      </c>
    </row>
    <row r="131" spans="1:4" x14ac:dyDescent="0.3">
      <c r="A131" s="2">
        <v>41117</v>
      </c>
      <c r="B131">
        <v>15756.642959285269</v>
      </c>
      <c r="C131">
        <v>8371.2683046610746</v>
      </c>
      <c r="D131">
        <v>23555.05693977623</v>
      </c>
    </row>
    <row r="132" spans="1:4" x14ac:dyDescent="0.3">
      <c r="A132" s="2">
        <v>41124</v>
      </c>
      <c r="B132">
        <v>15059.104227667591</v>
      </c>
      <c r="C132">
        <v>7467.8188331933907</v>
      </c>
      <c r="D132">
        <v>22655.434404894331</v>
      </c>
    </row>
    <row r="133" spans="1:4" x14ac:dyDescent="0.3">
      <c r="A133" s="2">
        <v>41126</v>
      </c>
      <c r="B133">
        <v>16600.526812701541</v>
      </c>
      <c r="C133">
        <v>9352.6968682451497</v>
      </c>
      <c r="D133">
        <v>24481.817476735829</v>
      </c>
    </row>
    <row r="134" spans="1:4" x14ac:dyDescent="0.3">
      <c r="A134" s="2">
        <v>41133</v>
      </c>
      <c r="B134">
        <v>16845.870077920252</v>
      </c>
      <c r="C134">
        <v>9718.3681954884723</v>
      </c>
      <c r="D134">
        <v>24535.033822658861</v>
      </c>
    </row>
    <row r="135" spans="1:4" x14ac:dyDescent="0.3">
      <c r="A135" s="2">
        <v>41140</v>
      </c>
      <c r="B135">
        <v>17175.07692259971</v>
      </c>
      <c r="C135">
        <v>10085.727202703651</v>
      </c>
      <c r="D135">
        <v>24954.030128668241</v>
      </c>
    </row>
    <row r="136" spans="1:4" x14ac:dyDescent="0.3">
      <c r="A136" s="2">
        <v>41147</v>
      </c>
      <c r="B136">
        <v>17094.026990585258</v>
      </c>
      <c r="C136">
        <v>9331.5980907376797</v>
      </c>
      <c r="D136">
        <v>24809.451472156561</v>
      </c>
    </row>
    <row r="137" spans="1:4" x14ac:dyDescent="0.3">
      <c r="A137" s="2">
        <v>41154</v>
      </c>
      <c r="B137">
        <v>17202.809248930618</v>
      </c>
      <c r="C137">
        <v>9325.8668024856397</v>
      </c>
      <c r="D137">
        <v>24587.36701498257</v>
      </c>
    </row>
    <row r="138" spans="1:4" x14ac:dyDescent="0.3">
      <c r="A138" s="2">
        <v>41161</v>
      </c>
      <c r="B138">
        <v>18386.89383952857</v>
      </c>
      <c r="C138">
        <v>10819.845298353721</v>
      </c>
      <c r="D138">
        <v>25995.27965473212</v>
      </c>
    </row>
    <row r="139" spans="1:4" x14ac:dyDescent="0.3">
      <c r="A139" s="2">
        <v>41168</v>
      </c>
      <c r="B139">
        <v>20276.834626418611</v>
      </c>
      <c r="C139">
        <v>12478.823880988781</v>
      </c>
      <c r="D139">
        <v>28128.11587505486</v>
      </c>
    </row>
    <row r="140" spans="1:4" x14ac:dyDescent="0.3">
      <c r="A140" s="2">
        <v>41175</v>
      </c>
      <c r="B140">
        <v>21355.08338377178</v>
      </c>
      <c r="C140">
        <v>13500.166160488519</v>
      </c>
      <c r="D140">
        <v>28514.779276939131</v>
      </c>
    </row>
    <row r="141" spans="1:4" x14ac:dyDescent="0.3">
      <c r="A141" s="2">
        <v>41182</v>
      </c>
      <c r="B141">
        <v>21074.560935257679</v>
      </c>
      <c r="C141">
        <v>13900.454012147449</v>
      </c>
      <c r="D141">
        <v>28602.777615980001</v>
      </c>
    </row>
    <row r="142" spans="1:4" x14ac:dyDescent="0.3">
      <c r="A142" s="2">
        <v>41189</v>
      </c>
      <c r="B142">
        <v>21310.871706121179</v>
      </c>
      <c r="C142">
        <v>13198.95909314856</v>
      </c>
      <c r="D142">
        <v>28731.804702571932</v>
      </c>
    </row>
    <row r="143" spans="1:4" x14ac:dyDescent="0.3">
      <c r="A143" s="2">
        <v>41196</v>
      </c>
      <c r="B143">
        <v>24637.91931864509</v>
      </c>
      <c r="C143">
        <v>17339.331478678399</v>
      </c>
      <c r="D143">
        <v>31860.94373200944</v>
      </c>
    </row>
    <row r="144" spans="1:4" x14ac:dyDescent="0.3">
      <c r="A144" s="2">
        <v>41203</v>
      </c>
      <c r="B144">
        <v>30757.6824280988</v>
      </c>
      <c r="C144">
        <v>23518.97813659062</v>
      </c>
      <c r="D144">
        <v>38055.096783600493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3ABF-6091-4D41-A99A-B925861E5EAF}">
  <dimension ref="A1:B13"/>
  <sheetViews>
    <sheetView tabSelected="1" workbookViewId="0">
      <selection activeCell="B5" sqref="B5"/>
    </sheetView>
  </sheetViews>
  <sheetFormatPr defaultRowHeight="14.4" x14ac:dyDescent="0.3"/>
  <cols>
    <col min="1" max="1" width="18.109375" customWidth="1"/>
    <col min="2" max="2" width="23.33203125" customWidth="1"/>
  </cols>
  <sheetData>
    <row r="1" spans="1:2" x14ac:dyDescent="0.3">
      <c r="A1" s="3" t="s">
        <v>4</v>
      </c>
      <c r="B1" s="4">
        <v>2</v>
      </c>
    </row>
    <row r="2" spans="1:2" x14ac:dyDescent="0.3">
      <c r="A2" t="s">
        <v>5</v>
      </c>
      <c r="B2" s="4">
        <v>1.65</v>
      </c>
    </row>
    <row r="3" spans="1:2" x14ac:dyDescent="0.3">
      <c r="A3" t="s">
        <v>6</v>
      </c>
      <c r="B3" s="4">
        <v>100</v>
      </c>
    </row>
    <row r="4" spans="1:2" x14ac:dyDescent="0.3">
      <c r="A4" t="s">
        <v>7</v>
      </c>
      <c r="B4" s="4">
        <v>5</v>
      </c>
    </row>
    <row r="5" spans="1:2" x14ac:dyDescent="0.3">
      <c r="A5" t="s">
        <v>8</v>
      </c>
      <c r="B5" s="4">
        <v>500689</v>
      </c>
    </row>
    <row r="6" spans="1:2" x14ac:dyDescent="0.3">
      <c r="B6" s="5"/>
    </row>
    <row r="7" spans="1:2" x14ac:dyDescent="0.3">
      <c r="A7" t="s">
        <v>9</v>
      </c>
      <c r="B7" s="5">
        <f>AVERAGE(Forecast_Data!B:B)</f>
        <v>22543.589877033475</v>
      </c>
    </row>
    <row r="8" spans="1:2" x14ac:dyDescent="0.3">
      <c r="A8" t="s">
        <v>10</v>
      </c>
      <c r="B8" s="5">
        <f>STDEV(Forecast_Data!B:B)</f>
        <v>7965.8686954969589</v>
      </c>
    </row>
    <row r="9" spans="1:2" x14ac:dyDescent="0.3">
      <c r="A9" t="s">
        <v>11</v>
      </c>
      <c r="B9" s="5">
        <f>B2 * B8 * SQRT(B1)</f>
        <v>18587.975249670872</v>
      </c>
    </row>
    <row r="10" spans="1:2" x14ac:dyDescent="0.3">
      <c r="A10" t="s">
        <v>12</v>
      </c>
      <c r="B10" s="5">
        <f>(B7 * B1) + B9</f>
        <v>63675.155003737818</v>
      </c>
    </row>
    <row r="11" spans="1:2" x14ac:dyDescent="0.3">
      <c r="A11" t="s">
        <v>13</v>
      </c>
      <c r="B11" s="5">
        <f>B7 * 52</f>
        <v>1172266.6736057408</v>
      </c>
    </row>
    <row r="12" spans="1:2" x14ac:dyDescent="0.3">
      <c r="A12" t="s">
        <v>14</v>
      </c>
      <c r="B12" s="5">
        <f>SQRT((2 * B11 * B3) / B4)</f>
        <v>6847.6760250635125</v>
      </c>
    </row>
    <row r="13" spans="1:2" ht="18" x14ac:dyDescent="0.35">
      <c r="A13" t="s">
        <v>15</v>
      </c>
      <c r="B13" s="6" t="str">
        <f>IF(B5 &lt; B10,"REORDER REQUIRED","STOCK SAFE")</f>
        <v>STOCK SAFE</v>
      </c>
    </row>
  </sheetData>
  <conditionalFormatting sqref="B13">
    <cfRule type="containsText" dxfId="0" priority="1" operator="containsText" text="SAFE">
      <formula>NOT(ISERROR(SEARCH("SAFE",B13)))</formula>
    </cfRule>
    <cfRule type="containsText" dxfId="1" priority="2" operator="containsText" text="REORDER">
      <formula>NOT(ISERROR(SEARCH("REORDER",B13)))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Forecast_Data</vt:lpstr>
      <vt:lpstr>Inventory_Summary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DAKSHINA PRASATH (RA2311026010053)</dc:creator>
  <cp:lastModifiedBy>DAKSHINA PRASATH (RA2311026010053)</cp:lastModifiedBy>
  <dcterms:created xsi:type="dcterms:W3CDTF">2026-02-28T16:08:12Z</dcterms:created>
  <dcterms:modified xsi:type="dcterms:W3CDTF">2026-02-28T19:07:40Z</dcterms:modified>
</cp:coreProperties>
</file>